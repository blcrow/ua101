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row/Documents/Courses/Utility Analytics/"/>
    </mc:Choice>
  </mc:AlternateContent>
  <xr:revisionPtr revIDLastSave="0" documentId="13_ncr:1_{6D245686-663B-C040-9D58-41D9C4F316FD}" xr6:coauthVersionLast="47" xr6:coauthVersionMax="47" xr10:uidLastSave="{00000000-0000-0000-0000-000000000000}"/>
  <bookViews>
    <workbookView xWindow="0" yWindow="500" windowWidth="35840" windowHeight="21900" activeTab="1" xr2:uid="{D0187CDE-5C3B-B641-B65E-F128E1B20B5C}"/>
  </bookViews>
  <sheets>
    <sheet name="Monthly Temps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2" i="2"/>
  <c r="O4" i="1"/>
  <c r="O5" i="1"/>
  <c r="O6" i="1"/>
  <c r="O8" i="1"/>
  <c r="O10" i="1"/>
  <c r="O7" i="1"/>
  <c r="O9" i="1"/>
  <c r="O11" i="1"/>
  <c r="O3" i="1"/>
</calcChain>
</file>

<file path=xl/sharedStrings.xml><?xml version="1.0" encoding="utf-8"?>
<sst xmlns="http://schemas.openxmlformats.org/spreadsheetml/2006/main" count="33" uniqueCount="24">
  <si>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</si>
  <si>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</si>
  <si>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</si>
  <si>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</si>
  <si>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</si>
  <si>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</si>
  <si>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</si>
  <si>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</si>
  <si>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</si>
  <si>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</si>
  <si>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</si>
  <si>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</si>
  <si>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Columbus</t>
  </si>
  <si>
    <t>San Marcos</t>
  </si>
  <si>
    <t>Lakewood</t>
  </si>
  <si>
    <t>Delaware</t>
  </si>
  <si>
    <t>Tempe</t>
  </si>
  <si>
    <t>Fredericksburg</t>
  </si>
  <si>
    <t>Waukesha</t>
  </si>
  <si>
    <t>Fort Collins</t>
  </si>
  <si>
    <t>Birmingham</t>
  </si>
  <si>
    <t>Temperature (◦F)</t>
  </si>
  <si>
    <t>Average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</si>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</sst>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;;;"/>
  </numFmts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  <xf numFmtId="49" fontId="1" fillId="0" borderId="0" xfId="0" applyNumberFormat="1" applyFont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Average High</a:t>
            </a:r>
            <a:r>
              <a:rPr lang="en-US" sz="2000" baseline="0"/>
              <a:t> Temperature</a:t>
            </a:r>
            <a:endParaRPr lang="en-US" sz="2000"/>
          </a:p>
        </c:rich>
      </c:tx>
      <c:layout>
        <c:manualLayout>
          <c:xMode val="edge"/>
          <c:yMode val="edge"/>
          <c:x val="5.7130779325661437E-3"/>
          <c:y val="1.5267175572519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82550">
                <a:solidFill>
                  <a:schemeClr val="accent1"/>
                </a:solidFill>
              </a:ln>
              <a:effectLst/>
            </c:spPr>
          </c:marker>
          <c:cat>
            <c:strRef>
              <c:f>Sheet2!$B$2:$B$10</c:f>
              <c:strCache>
                <c:ptCount val="9"/>
                <c:pt idx="0">
                  <c:v>Waukesha</c:v>
                </c:pt>
                <c:pt idx="1">
                  <c:v>Delaware</c:v>
                </c:pt>
                <c:pt idx="2">
                  <c:v>Columbus</c:v>
                </c:pt>
                <c:pt idx="3">
                  <c:v>Lakewood</c:v>
                </c:pt>
                <c:pt idx="4">
                  <c:v>Fort Collins</c:v>
                </c:pt>
                <c:pt idx="5">
                  <c:v>Fredericksburg</c:v>
                </c:pt>
                <c:pt idx="6">
                  <c:v>Birmingham</c:v>
                </c:pt>
                <c:pt idx="7">
                  <c:v>San Marcos</c:v>
                </c:pt>
                <c:pt idx="8">
                  <c:v>Tempe</c:v>
                </c:pt>
              </c:strCache>
            </c:strRef>
          </c:cat>
          <c:val>
            <c:numRef>
              <c:f>Sheet2!$O$2:$O$10</c:f>
              <c:numCache>
                <c:formatCode>0.00</c:formatCode>
                <c:ptCount val="9"/>
                <c:pt idx="0">
                  <c:v>56.583333333333336</c:v>
                </c:pt>
                <c:pt idx="1">
                  <c:v>60.583333333333336</c:v>
                </c:pt>
                <c:pt idx="2">
                  <c:v>63.5</c:v>
                </c:pt>
                <c:pt idx="3">
                  <c:v>63.833333333333336</c:v>
                </c:pt>
                <c:pt idx="4">
                  <c:v>63.583333333333336</c:v>
                </c:pt>
                <c:pt idx="5">
                  <c:v>69.083333333333329</c:v>
                </c:pt>
                <c:pt idx="6">
                  <c:v>73.333333333333329</c:v>
                </c:pt>
                <c:pt idx="7">
                  <c:v>79.583333333333329</c:v>
                </c:pt>
                <c:pt idx="8">
                  <c:v>85.333333333333329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B-A04D-8DE0-9A2A984BE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223488"/>
        <c:axId val="599361664"/>
      </c:lineChart>
      <c:catAx>
        <c:axId val="7362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61664"/>
        <c:crosses val="autoZero"/>
        <c:auto val="1"/>
        <c:lblAlgn val="ctr"/>
        <c:lblOffset val="100"/>
        <c:noMultiLvlLbl val="0"/>
      </c:catAx>
      <c:valAx>
        <c:axId val="59936166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(◦F)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2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14</xdr:row>
      <xdr:rowOff>0</xdr:rowOff>
    </xdr:from>
    <xdr:to>
      <xdr:col>17</xdr:col>
      <xdr:colOff>127000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B5D249-D943-9C4B-BEB0-AE888411F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CA68-5829-1D4C-8C8D-A91085EB4F04}">
  <dimension ref="A2:P11"/>
  <sheetViews>
    <sheetView showGridLines="0" workbookViewId="0">
      <selection activeCell="A3" sqref="A3:M11"/>
    </sheetView>
  </sheetViews>
  <sheetFormatPr baseColWidth="10" defaultRowHeight="16" x14ac:dyDescent="0.2"/>
  <cols>
    <col min="1" max="1" width="13.6640625" customWidth="1"/>
    <col min="14" max="14" width="6.83203125" customWidth="1"/>
    <col min="15" max="15" width="5" customWidth="1"/>
    <col min="16" max="16" width="6.1640625" customWidth="1"/>
  </cols>
  <sheetData>
    <row r="2" spans="1:16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O2" s="2" t="s">
        <v>21</v>
      </c>
    </row>
    <row r="3" spans="1:16" ht="32" customHeight="1" x14ac:dyDescent="0.2">
      <c r="A3" s="3" t="s">
        <v>18</v>
      </c>
      <c r="B3" s="4">
        <v>27</v>
      </c>
      <c r="C3" s="4">
        <v>32</v>
      </c>
      <c r="D3" s="4">
        <v>43</v>
      </c>
      <c r="E3" s="4">
        <v>56</v>
      </c>
      <c r="F3" s="4">
        <v>69</v>
      </c>
      <c r="G3" s="4">
        <v>78</v>
      </c>
      <c r="H3" s="4">
        <v>83</v>
      </c>
      <c r="I3" s="4">
        <v>80</v>
      </c>
      <c r="J3" s="4">
        <v>73</v>
      </c>
      <c r="K3" s="4">
        <v>60</v>
      </c>
      <c r="L3" s="4">
        <v>46</v>
      </c>
      <c r="M3" s="4">
        <v>32</v>
      </c>
      <c r="O3" s="1">
        <f>MAX(B3:M11)</f>
        <v>105</v>
      </c>
      <c r="P3">
        <v>105</v>
      </c>
    </row>
    <row r="4" spans="1:16" ht="32" customHeight="1" x14ac:dyDescent="0.2">
      <c r="A4" s="3" t="s">
        <v>15</v>
      </c>
      <c r="B4" s="4">
        <v>34</v>
      </c>
      <c r="C4" s="4">
        <v>37</v>
      </c>
      <c r="D4" s="4">
        <v>48</v>
      </c>
      <c r="E4" s="4">
        <v>61</v>
      </c>
      <c r="F4" s="4">
        <v>71</v>
      </c>
      <c r="G4" s="4">
        <v>80</v>
      </c>
      <c r="H4" s="4">
        <v>84</v>
      </c>
      <c r="I4" s="4">
        <v>82</v>
      </c>
      <c r="J4" s="4">
        <v>76</v>
      </c>
      <c r="K4" s="4">
        <v>64</v>
      </c>
      <c r="L4" s="4">
        <v>51</v>
      </c>
      <c r="M4" s="4">
        <v>39</v>
      </c>
      <c r="O4" s="1">
        <f>MIN($B$3:$M$11)+(8/9)*(MAX($B$3:$M$11)-MIN($B$3:$M$11))</f>
        <v>96.333333333333329</v>
      </c>
    </row>
    <row r="5" spans="1:16" ht="32" customHeight="1" x14ac:dyDescent="0.2">
      <c r="A5" s="3" t="s">
        <v>12</v>
      </c>
      <c r="B5" s="4">
        <v>36</v>
      </c>
      <c r="C5" s="4">
        <v>40</v>
      </c>
      <c r="D5" s="4">
        <v>51</v>
      </c>
      <c r="E5" s="4">
        <v>65</v>
      </c>
      <c r="F5" s="4">
        <v>76</v>
      </c>
      <c r="G5" s="4">
        <v>83</v>
      </c>
      <c r="H5" s="4">
        <v>86</v>
      </c>
      <c r="I5" s="4">
        <v>85</v>
      </c>
      <c r="J5" s="4">
        <v>79</v>
      </c>
      <c r="K5" s="4">
        <v>66</v>
      </c>
      <c r="L5" s="4">
        <v>52</v>
      </c>
      <c r="M5" s="4">
        <v>43</v>
      </c>
      <c r="O5" s="1">
        <f>MIN($B$3:$M$11)+(7/9)*(MAX($B$3:$M$11)-MIN($B$3:$M$11))</f>
        <v>87.666666666666657</v>
      </c>
    </row>
    <row r="6" spans="1:16" ht="32" customHeight="1" x14ac:dyDescent="0.2">
      <c r="A6" s="3" t="s">
        <v>14</v>
      </c>
      <c r="B6" s="4">
        <v>45</v>
      </c>
      <c r="C6" s="4">
        <v>47</v>
      </c>
      <c r="D6" s="4">
        <v>53</v>
      </c>
      <c r="E6" s="4">
        <v>60</v>
      </c>
      <c r="F6" s="4">
        <v>69</v>
      </c>
      <c r="G6" s="4">
        <v>80</v>
      </c>
      <c r="H6" s="4">
        <v>87</v>
      </c>
      <c r="I6" s="4">
        <v>85</v>
      </c>
      <c r="J6" s="4">
        <v>77</v>
      </c>
      <c r="K6" s="4">
        <v>65</v>
      </c>
      <c r="L6" s="4">
        <v>53</v>
      </c>
      <c r="M6" s="4">
        <v>45</v>
      </c>
      <c r="O6" s="1">
        <f>MIN($B$3:$M$11)+(6/9)*(MAX($B$3:$M$11)-MIN($B$3:$M$11))</f>
        <v>79</v>
      </c>
    </row>
    <row r="7" spans="1:16" ht="32" customHeight="1" x14ac:dyDescent="0.2">
      <c r="A7" s="3" t="s">
        <v>19</v>
      </c>
      <c r="B7" s="4">
        <v>43</v>
      </c>
      <c r="C7" s="4">
        <v>47</v>
      </c>
      <c r="D7" s="4">
        <v>55</v>
      </c>
      <c r="E7" s="4">
        <v>62</v>
      </c>
      <c r="F7" s="4">
        <v>70</v>
      </c>
      <c r="G7" s="4">
        <v>81</v>
      </c>
      <c r="H7" s="4">
        <v>87</v>
      </c>
      <c r="I7" s="4">
        <v>84</v>
      </c>
      <c r="J7" s="4">
        <v>76</v>
      </c>
      <c r="K7" s="4">
        <v>64</v>
      </c>
      <c r="L7" s="4">
        <v>51</v>
      </c>
      <c r="M7" s="4">
        <v>43</v>
      </c>
      <c r="O7" s="1">
        <f>MIN($B$3:$M$11)+(5/9)*(MAX($B$3:$M$11)-MIN($B$3:$M$11))</f>
        <v>70.333333333333343</v>
      </c>
    </row>
    <row r="8" spans="1:16" ht="32" customHeight="1" x14ac:dyDescent="0.2">
      <c r="A8" s="3" t="s">
        <v>17</v>
      </c>
      <c r="B8" s="4">
        <v>45</v>
      </c>
      <c r="C8" s="4">
        <v>50</v>
      </c>
      <c r="D8" s="4">
        <v>59</v>
      </c>
      <c r="E8" s="4">
        <v>70</v>
      </c>
      <c r="F8" s="4">
        <v>78</v>
      </c>
      <c r="G8" s="4">
        <v>86</v>
      </c>
      <c r="H8" s="4">
        <v>90</v>
      </c>
      <c r="I8" s="4">
        <v>88</v>
      </c>
      <c r="J8" s="4">
        <v>82</v>
      </c>
      <c r="K8" s="4">
        <v>71</v>
      </c>
      <c r="L8" s="4">
        <v>60</v>
      </c>
      <c r="M8" s="4">
        <v>50</v>
      </c>
      <c r="O8" s="1">
        <f>MIN($B$3:$M$11)+(4/9)*(MAX($B$3:$M$11)-MIN($B$3:$M$11))</f>
        <v>61.666666666666664</v>
      </c>
    </row>
    <row r="9" spans="1:16" ht="32" customHeight="1" x14ac:dyDescent="0.2">
      <c r="A9" s="3" t="s">
        <v>20</v>
      </c>
      <c r="B9" s="4">
        <v>51</v>
      </c>
      <c r="C9" s="4">
        <v>56</v>
      </c>
      <c r="D9" s="4">
        <v>67</v>
      </c>
      <c r="E9" s="4">
        <v>75</v>
      </c>
      <c r="F9" s="4">
        <v>82</v>
      </c>
      <c r="G9" s="4">
        <v>88</v>
      </c>
      <c r="H9" s="4">
        <v>91</v>
      </c>
      <c r="I9" s="4">
        <v>91</v>
      </c>
      <c r="J9" s="4">
        <v>84</v>
      </c>
      <c r="K9" s="4">
        <v>74</v>
      </c>
      <c r="L9" s="4">
        <v>66</v>
      </c>
      <c r="M9" s="4">
        <v>55</v>
      </c>
      <c r="O9" s="1">
        <f t="shared" ref="O9" si="0">MIN($B$3:$M$11)+(3/9)*(MAX($B$3:$M$11)-MIN($B$3:$M$11))</f>
        <v>53</v>
      </c>
    </row>
    <row r="10" spans="1:16" ht="32" customHeight="1" x14ac:dyDescent="0.2">
      <c r="A10" s="3" t="s">
        <v>13</v>
      </c>
      <c r="B10" s="4">
        <v>62</v>
      </c>
      <c r="C10" s="4">
        <v>66</v>
      </c>
      <c r="D10" s="4">
        <v>73</v>
      </c>
      <c r="E10" s="4">
        <v>80</v>
      </c>
      <c r="F10" s="4">
        <v>86</v>
      </c>
      <c r="G10" s="4">
        <v>91</v>
      </c>
      <c r="H10" s="4">
        <v>94</v>
      </c>
      <c r="I10" s="4">
        <v>96</v>
      </c>
      <c r="J10" s="4">
        <v>90</v>
      </c>
      <c r="K10" s="4">
        <v>82</v>
      </c>
      <c r="L10" s="4">
        <v>72</v>
      </c>
      <c r="M10" s="4">
        <v>63</v>
      </c>
      <c r="O10" s="1">
        <f>MIN($B$3:$M$11)+(2/9)*(MAX($B$3:$M$11)-MIN($B$3:$M$11))</f>
        <v>44.333333333333329</v>
      </c>
    </row>
    <row r="11" spans="1:16" ht="32" customHeight="1" x14ac:dyDescent="0.2">
      <c r="A11" s="3" t="s">
        <v>16</v>
      </c>
      <c r="B11" s="4">
        <v>65</v>
      </c>
      <c r="C11" s="4">
        <v>71</v>
      </c>
      <c r="D11" s="4">
        <v>74</v>
      </c>
      <c r="E11" s="4">
        <v>83</v>
      </c>
      <c r="F11" s="4">
        <v>93</v>
      </c>
      <c r="G11" s="4">
        <v>103</v>
      </c>
      <c r="H11" s="4">
        <v>105</v>
      </c>
      <c r="I11" s="4">
        <v>103</v>
      </c>
      <c r="J11" s="4">
        <v>99</v>
      </c>
      <c r="K11" s="4">
        <v>87</v>
      </c>
      <c r="L11" s="4">
        <v>74</v>
      </c>
      <c r="M11" s="4">
        <v>67</v>
      </c>
      <c r="O11" s="1">
        <f>MIN(B3:M11)</f>
        <v>27</v>
      </c>
      <c r="P11">
        <v>27</v>
      </c>
    </row>
  </sheetData>
  <sortState xmlns:xlrd2="http://schemas.microsoft.com/office/spreadsheetml/2017/richdata2" ref="A3:M11">
    <sortCondition ref="H3:H11"/>
  </sortState>
  <conditionalFormatting sqref="B3:M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3:O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BA46-4C2D-8C4D-A37B-666F5720C7B7}">
  <dimension ref="B1:O10"/>
  <sheetViews>
    <sheetView tabSelected="1" topLeftCell="D1" zoomScaleNormal="100" workbookViewId="0">
      <selection activeCell="S9" sqref="S9"/>
    </sheetView>
  </sheetViews>
  <sheetFormatPr baseColWidth="10" defaultRowHeight="16" x14ac:dyDescent="0.2"/>
  <cols>
    <col min="2" max="2" width="12.33203125" bestFit="1" customWidth="1"/>
    <col min="3" max="3" width="19.1640625" bestFit="1" customWidth="1"/>
  </cols>
  <sheetData>
    <row r="1" spans="2:15" x14ac:dyDescent="0.2">
      <c r="B1" t="s">
        <v>23</v>
      </c>
      <c r="O1" t="s">
        <v>22</v>
      </c>
    </row>
    <row r="2" spans="2:15" x14ac:dyDescent="0.2">
      <c r="B2" s="3" t="s">
        <v>18</v>
      </c>
      <c r="C2" s="4">
        <v>27</v>
      </c>
      <c r="D2" s="4">
        <v>32</v>
      </c>
      <c r="E2" s="4">
        <v>43</v>
      </c>
      <c r="F2" s="4">
        <v>56</v>
      </c>
      <c r="G2" s="4">
        <v>69</v>
      </c>
      <c r="H2" s="4">
        <v>78</v>
      </c>
      <c r="I2" s="4">
        <v>83</v>
      </c>
      <c r="J2" s="4">
        <v>80</v>
      </c>
      <c r="K2" s="4">
        <v>73</v>
      </c>
      <c r="L2" s="4">
        <v>60</v>
      </c>
      <c r="M2" s="4">
        <v>46</v>
      </c>
      <c r="N2" s="4">
        <v>32</v>
      </c>
      <c r="O2" s="4">
        <f>AVERAGE(C2:N2)</f>
        <v>56.583333333333336</v>
      </c>
    </row>
    <row r="3" spans="2:15" x14ac:dyDescent="0.2">
      <c r="B3" s="3" t="s">
        <v>15</v>
      </c>
      <c r="C3" s="4">
        <v>34</v>
      </c>
      <c r="D3" s="4">
        <v>37</v>
      </c>
      <c r="E3" s="4">
        <v>48</v>
      </c>
      <c r="F3" s="4">
        <v>61</v>
      </c>
      <c r="G3" s="4">
        <v>71</v>
      </c>
      <c r="H3" s="4">
        <v>80</v>
      </c>
      <c r="I3" s="4">
        <v>84</v>
      </c>
      <c r="J3" s="4">
        <v>82</v>
      </c>
      <c r="K3" s="4">
        <v>76</v>
      </c>
      <c r="L3" s="4">
        <v>64</v>
      </c>
      <c r="M3" s="4">
        <v>51</v>
      </c>
      <c r="N3" s="4">
        <v>39</v>
      </c>
      <c r="O3" s="4">
        <f t="shared" ref="O3:O10" si="0">AVERAGE(C3:N3)</f>
        <v>60.583333333333336</v>
      </c>
    </row>
    <row r="4" spans="2:15" x14ac:dyDescent="0.2">
      <c r="B4" s="3" t="s">
        <v>12</v>
      </c>
      <c r="C4" s="4">
        <v>36</v>
      </c>
      <c r="D4" s="4">
        <v>40</v>
      </c>
      <c r="E4" s="4">
        <v>51</v>
      </c>
      <c r="F4" s="4">
        <v>65</v>
      </c>
      <c r="G4" s="4">
        <v>76</v>
      </c>
      <c r="H4" s="4">
        <v>83</v>
      </c>
      <c r="I4" s="4">
        <v>86</v>
      </c>
      <c r="J4" s="4">
        <v>85</v>
      </c>
      <c r="K4" s="4">
        <v>79</v>
      </c>
      <c r="L4" s="4">
        <v>66</v>
      </c>
      <c r="M4" s="4">
        <v>52</v>
      </c>
      <c r="N4" s="4">
        <v>43</v>
      </c>
      <c r="O4" s="4">
        <f t="shared" si="0"/>
        <v>63.5</v>
      </c>
    </row>
    <row r="5" spans="2:15" x14ac:dyDescent="0.2">
      <c r="B5" s="3" t="s">
        <v>14</v>
      </c>
      <c r="C5" s="4">
        <v>45</v>
      </c>
      <c r="D5" s="4">
        <v>47</v>
      </c>
      <c r="E5" s="4">
        <v>53</v>
      </c>
      <c r="F5" s="4">
        <v>60</v>
      </c>
      <c r="G5" s="4">
        <v>69</v>
      </c>
      <c r="H5" s="4">
        <v>80</v>
      </c>
      <c r="I5" s="4">
        <v>87</v>
      </c>
      <c r="J5" s="4">
        <v>85</v>
      </c>
      <c r="K5" s="4">
        <v>77</v>
      </c>
      <c r="L5" s="4">
        <v>65</v>
      </c>
      <c r="M5" s="4">
        <v>53</v>
      </c>
      <c r="N5" s="4">
        <v>45</v>
      </c>
      <c r="O5" s="4">
        <f t="shared" si="0"/>
        <v>63.833333333333336</v>
      </c>
    </row>
    <row r="6" spans="2:15" x14ac:dyDescent="0.2">
      <c r="B6" s="3" t="s">
        <v>19</v>
      </c>
      <c r="C6" s="4">
        <v>43</v>
      </c>
      <c r="D6" s="4">
        <v>47</v>
      </c>
      <c r="E6" s="4">
        <v>55</v>
      </c>
      <c r="F6" s="4">
        <v>62</v>
      </c>
      <c r="G6" s="4">
        <v>70</v>
      </c>
      <c r="H6" s="4">
        <v>81</v>
      </c>
      <c r="I6" s="4">
        <v>87</v>
      </c>
      <c r="J6" s="4">
        <v>84</v>
      </c>
      <c r="K6" s="4">
        <v>76</v>
      </c>
      <c r="L6" s="4">
        <v>64</v>
      </c>
      <c r="M6" s="4">
        <v>51</v>
      </c>
      <c r="N6" s="4">
        <v>43</v>
      </c>
      <c r="O6" s="4">
        <f t="shared" si="0"/>
        <v>63.583333333333336</v>
      </c>
    </row>
    <row r="7" spans="2:15" x14ac:dyDescent="0.2">
      <c r="B7" s="3" t="s">
        <v>17</v>
      </c>
      <c r="C7" s="4">
        <v>45</v>
      </c>
      <c r="D7" s="4">
        <v>50</v>
      </c>
      <c r="E7" s="4">
        <v>59</v>
      </c>
      <c r="F7" s="4">
        <v>70</v>
      </c>
      <c r="G7" s="4">
        <v>78</v>
      </c>
      <c r="H7" s="4">
        <v>86</v>
      </c>
      <c r="I7" s="4">
        <v>90</v>
      </c>
      <c r="J7" s="4">
        <v>88</v>
      </c>
      <c r="K7" s="4">
        <v>82</v>
      </c>
      <c r="L7" s="4">
        <v>71</v>
      </c>
      <c r="M7" s="4">
        <v>60</v>
      </c>
      <c r="N7" s="4">
        <v>50</v>
      </c>
      <c r="O7" s="4">
        <f t="shared" si="0"/>
        <v>69.083333333333329</v>
      </c>
    </row>
    <row r="8" spans="2:15" x14ac:dyDescent="0.2">
      <c r="B8" s="3" t="s">
        <v>20</v>
      </c>
      <c r="C8" s="4">
        <v>51</v>
      </c>
      <c r="D8" s="4">
        <v>56</v>
      </c>
      <c r="E8" s="4">
        <v>67</v>
      </c>
      <c r="F8" s="4">
        <v>75</v>
      </c>
      <c r="G8" s="4">
        <v>82</v>
      </c>
      <c r="H8" s="4">
        <v>88</v>
      </c>
      <c r="I8" s="4">
        <v>91</v>
      </c>
      <c r="J8" s="4">
        <v>91</v>
      </c>
      <c r="K8" s="4">
        <v>84</v>
      </c>
      <c r="L8" s="4">
        <v>74</v>
      </c>
      <c r="M8" s="4">
        <v>66</v>
      </c>
      <c r="N8" s="4">
        <v>55</v>
      </c>
      <c r="O8" s="4">
        <f t="shared" si="0"/>
        <v>73.333333333333329</v>
      </c>
    </row>
    <row r="9" spans="2:15" x14ac:dyDescent="0.2">
      <c r="B9" s="3" t="s">
        <v>13</v>
      </c>
      <c r="C9" s="4">
        <v>62</v>
      </c>
      <c r="D9" s="4">
        <v>66</v>
      </c>
      <c r="E9" s="4">
        <v>73</v>
      </c>
      <c r="F9" s="4">
        <v>80</v>
      </c>
      <c r="G9" s="4">
        <v>86</v>
      </c>
      <c r="H9" s="4">
        <v>91</v>
      </c>
      <c r="I9" s="4">
        <v>94</v>
      </c>
      <c r="J9" s="4">
        <v>96</v>
      </c>
      <c r="K9" s="4">
        <v>90</v>
      </c>
      <c r="L9" s="4">
        <v>82</v>
      </c>
      <c r="M9" s="4">
        <v>72</v>
      </c>
      <c r="N9" s="4">
        <v>63</v>
      </c>
      <c r="O9" s="4">
        <f t="shared" si="0"/>
        <v>79.583333333333329</v>
      </c>
    </row>
    <row r="10" spans="2:15" x14ac:dyDescent="0.2">
      <c r="B10" s="3" t="s">
        <v>16</v>
      </c>
      <c r="C10" s="4">
        <v>65</v>
      </c>
      <c r="D10" s="4">
        <v>71</v>
      </c>
      <c r="E10" s="4">
        <v>74</v>
      </c>
      <c r="F10" s="4">
        <v>83</v>
      </c>
      <c r="G10" s="4">
        <v>93</v>
      </c>
      <c r="H10" s="4">
        <v>103</v>
      </c>
      <c r="I10" s="4">
        <v>105</v>
      </c>
      <c r="J10" s="4">
        <v>103</v>
      </c>
      <c r="K10" s="4">
        <v>99</v>
      </c>
      <c r="L10" s="4">
        <v>87</v>
      </c>
      <c r="M10" s="4">
        <v>74</v>
      </c>
      <c r="N10" s="4">
        <v>67</v>
      </c>
      <c r="O10" s="4">
        <f t="shared" si="0"/>
        <v>85.333333333333329</v>
      </c>
    </row>
  </sheetData>
  <conditionalFormatting sqref="C2:N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Temps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Crow, Brandon L.</dc:creator>
  <cp:lastModifiedBy>Crow, Brandon L.</cp:lastModifiedBy>
  <dcterms:created xsi:type="dcterms:W3CDTF">2021-09-02T15:51:09Z</dcterms:created>
  <dcterms:modified xsi:type="dcterms:W3CDTF">2021-09-02T17:40:00Z</dcterms:modified>
</cp:coreProperties>
</file>